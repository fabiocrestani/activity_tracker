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6600" yWindow="15" windowWidth="13695" windowHeight="8040" activeTab="1"/>
    <workbookView xWindow="-75" yWindow="0" windowWidth="6630" windowHeight="6240" activeTab="1"/>
  </bookViews>
  <sheets>
    <sheet name="Control" sheetId="1" r:id="rId1"/>
    <sheet name="Activities" sheetId="2" r:id="rId2"/>
    <sheet name="Report" sheetId="3" r:id="rId3"/>
  </sheets>
  <calcPr calcId="144525"/>
  <pivotCaches>
    <pivotCache cacheId="0" r:id="rId4"/>
  </pivotCaches>
</workbook>
</file>

<file path=xl/calcChain.xml><?xml version="1.0" encoding="utf-8"?>
<calcChain xmlns="http://schemas.openxmlformats.org/spreadsheetml/2006/main">
  <c r="C31" i="2" l="1"/>
  <c r="C30" i="2"/>
  <c r="C29" i="2"/>
  <c r="C28" i="2"/>
  <c r="C27" i="2"/>
  <c r="C26" i="2"/>
  <c r="C25" i="2"/>
  <c r="C24" i="2"/>
  <c r="C23" i="2"/>
</calcChain>
</file>

<file path=xl/sharedStrings.xml><?xml version="1.0" encoding="utf-8"?>
<sst xmlns="http://schemas.openxmlformats.org/spreadsheetml/2006/main" count="126" uniqueCount="33">
  <si>
    <t>Activity</t>
  </si>
  <si>
    <t>User</t>
  </si>
  <si>
    <t>Start</t>
  </si>
  <si>
    <t>Stop</t>
  </si>
  <si>
    <t>Duration</t>
  </si>
  <si>
    <t>Project</t>
  </si>
  <si>
    <t>Activity:</t>
  </si>
  <si>
    <t>Project:</t>
  </si>
  <si>
    <t>User:</t>
  </si>
  <si>
    <t>Status:</t>
  </si>
  <si>
    <t>ID:</t>
  </si>
  <si>
    <t>Current activity</t>
  </si>
  <si>
    <t>Fabio Crestani</t>
  </si>
  <si>
    <t>Programming</t>
  </si>
  <si>
    <t>Fábio</t>
  </si>
  <si>
    <t>Total Geral</t>
  </si>
  <si>
    <t>Project report</t>
  </si>
  <si>
    <t>Activity report</t>
  </si>
  <si>
    <t>Project 1</t>
  </si>
  <si>
    <t>Project 2</t>
  </si>
  <si>
    <t>Project 3</t>
  </si>
  <si>
    <t>Sum</t>
  </si>
  <si>
    <t>Sum (%)</t>
  </si>
  <si>
    <t>Count</t>
  </si>
  <si>
    <t>Meeting</t>
  </si>
  <si>
    <t>Standard activities:</t>
  </si>
  <si>
    <t>Standup</t>
  </si>
  <si>
    <t>Botão 3</t>
  </si>
  <si>
    <t>Documentation</t>
  </si>
  <si>
    <t>Team Support</t>
  </si>
  <si>
    <t>A1</t>
  </si>
  <si>
    <t>QSW meeting</t>
  </si>
  <si>
    <t>Stopped (10/03/2020 21:23:56)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</si>
</sst>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1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9100"/>
      <name val="Calibri"/>
      <family val="2"/>
      <scheme val="minor"/>
    </font>
    <font>
      <sz val="11"/>
      <name val="Calibri"/>
      <family val="2"/>
      <scheme val="minor"/>
    </font>
    <font>
      <sz val="11"/>
      <color indexed="53"/>
      <name val="Calibri"/>
      <family val="2"/>
    </font>
    <font>
      <sz val="11"/>
      <color indexed="17"/>
      <name val="Calibri"/>
      <family val="2"/>
      <scheme val="minor"/>
    </font>
    <font>
      <sz val="11"/>
      <color indexed="12"/>
      <name val="Calibri"/>
      <family val="2"/>
    </font>
    <font>
      <sz val="11"/>
      <color indexed="18"/>
      <name val="Calibri"/>
      <family val="2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2" xfId="0" applyFill="1" applyBorder="1"/>
    <xf numFmtId="0" fontId="1" fillId="2" borderId="0" xfId="0" applyFont="1" applyFill="1" applyBorder="1" applyAlignment="1">
      <alignment horizontal="center"/>
    </xf>
    <xf numFmtId="0" fontId="0" fillId="2" borderId="16" xfId="0" applyFill="1" applyBorder="1"/>
    <xf numFmtId="0" fontId="3" fillId="2" borderId="0" xfId="0" applyFont="1" applyFill="1" applyBorder="1" applyAlignment="1">
      <alignment horizontal="center"/>
    </xf>
    <xf numFmtId="22" fontId="0" fillId="0" borderId="0" xfId="0" applyNumberFormat="1"/>
    <xf numFmtId="0" fontId="1" fillId="0" borderId="0" xfId="0" applyFont="1" applyAlignment="1">
      <alignment horizontal="center"/>
    </xf>
    <xf numFmtId="22" fontId="7" fillId="0" borderId="0" xfId="0" applyNumberFormat="1" applyFont="1"/>
    <xf numFmtId="0" fontId="7" fillId="0" borderId="0" xfId="0" applyFont="1"/>
    <xf numFmtId="164" fontId="7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3" borderId="13" xfId="0" applyFont="1" applyFill="1" applyBorder="1" applyAlignment="1">
      <alignment horizontal="left"/>
    </xf>
    <xf numFmtId="0" fontId="0" fillId="3" borderId="14" xfId="0" applyFont="1" applyFill="1" applyBorder="1" applyAlignment="1">
      <alignment horizontal="left"/>
    </xf>
    <xf numFmtId="0" fontId="0" fillId="3" borderId="15" xfId="0" applyFont="1" applyFill="1" applyBorder="1" applyAlignment="1">
      <alignment horizontal="left"/>
    </xf>
    <xf numFmtId="0" fontId="4" fillId="3" borderId="13" xfId="0" applyFont="1" applyFill="1" applyBorder="1" applyAlignment="1">
      <alignment horizontal="left"/>
    </xf>
    <xf numFmtId="0" fontId="6" fillId="3" borderId="14" xfId="0" applyFont="1" applyFill="1" applyBorder="1" applyAlignment="1">
      <alignment horizontal="left"/>
    </xf>
    <xf numFmtId="0" fontId="6" fillId="3" borderId="15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ont="1" applyFill="1"/>
    <xf numFmtId="0" fontId="0" fillId="4" borderId="0" xfId="0" applyFill="1" applyBorder="1"/>
    <xf numFmtId="0" fontId="2" fillId="4" borderId="0" xfId="0" applyFont="1" applyFill="1"/>
  </cellXfs>
  <cellStyles count="1">
    <cellStyle name="Normal" xfId="0" builtinId="0"/>
  </cellStyles>
  <dxfs count="2">
    <dxf>
      <numFmt numFmtId="164" formatCode="[$-F400]h:mm:ss\ AM/PM"/>
    </dxf>
    <dxf>
      <numFmt numFmtId="164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[Activity_Tracker.xlsm]Report!Tabela dinâmica1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Project</a:t>
            </a:r>
          </a:p>
        </c:rich>
      </c:tx>
      <c:layout>
        <c:manualLayout>
          <c:xMode val="edge"/>
          <c:yMode val="edge"/>
          <c:x val="0.7569634564910156"/>
          <c:y val="3.8140985514885956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8039637799039921E-2"/>
          <c:y val="0.19808454322956465"/>
          <c:w val="0.51268052105440209"/>
          <c:h val="0.62516761354197814"/>
        </c:manualLayout>
      </c:layout>
      <c:pieChart>
        <c:varyColors val="1"/>
        <c:ser>
          <c:idx val="0"/>
          <c:order val="0"/>
          <c:tx>
            <c:strRef>
              <c:f>Report!$B$2</c:f>
              <c:strCache>
                <c:ptCount val="1"/>
                <c:pt idx="0">
                  <c:v>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Report!$A$3:$A$6</c:f>
              <c:strCache>
                <c:ptCount val="3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</c:strCache>
            </c:strRef>
          </c:cat>
          <c:val>
            <c:numRef>
              <c:f>Report!$B$3:$B$6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strRef>
              <c:f>Report!$C$2</c:f>
              <c:strCache>
                <c:ptCount val="1"/>
                <c:pt idx="0">
                  <c:v>Sum</c:v>
                </c:pt>
              </c:strCache>
            </c:strRef>
          </c:tx>
          <c:cat>
            <c:strRef>
              <c:f>Report!$A$3:$A$6</c:f>
              <c:strCache>
                <c:ptCount val="3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</c:strCache>
            </c:strRef>
          </c:cat>
          <c:val>
            <c:numRef>
              <c:f>Report!$C$3:$C$6</c:f>
              <c:numCache>
                <c:formatCode>[$-F400]h:mm:ss\ AM/PM</c:formatCode>
                <c:ptCount val="3"/>
                <c:pt idx="0">
                  <c:v>1.6666666666666668E-3</c:v>
                </c:pt>
                <c:pt idx="1">
                  <c:v>9.9537037037037042E-4</c:v>
                </c:pt>
                <c:pt idx="2">
                  <c:v>9.2592592592592588E-5</c:v>
                </c:pt>
              </c:numCache>
            </c:numRef>
          </c:val>
        </c:ser>
        <c:ser>
          <c:idx val="2"/>
          <c:order val="2"/>
          <c:tx>
            <c:strRef>
              <c:f>Report!$D$2</c:f>
              <c:strCache>
                <c:ptCount val="1"/>
                <c:pt idx="0">
                  <c:v>Sum (%)</c:v>
                </c:pt>
              </c:strCache>
            </c:strRef>
          </c:tx>
          <c:cat>
            <c:strRef>
              <c:f>Report!$A$3:$A$6</c:f>
              <c:strCache>
                <c:ptCount val="3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</c:strCache>
            </c:strRef>
          </c:cat>
          <c:val>
            <c:numRef>
              <c:f>Report!$D$3:$D$6</c:f>
              <c:numCache>
                <c:formatCode>0.00%</c:formatCode>
                <c:ptCount val="3"/>
                <c:pt idx="0">
                  <c:v>0.60504201680672265</c:v>
                </c:pt>
                <c:pt idx="1">
                  <c:v>0.36134453781512604</c:v>
                </c:pt>
                <c:pt idx="2">
                  <c:v>3.3613445378151259E-2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[Activity_Tracker.xlsm]Report!Tabela dinâmica2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Activity</a:t>
            </a:r>
          </a:p>
        </c:rich>
      </c:tx>
      <c:layout>
        <c:manualLayout>
          <c:xMode val="edge"/>
          <c:yMode val="edge"/>
          <c:x val="0.73165048543689315"/>
          <c:y val="4.8775174442333528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423803820638925E-2"/>
          <c:y val="0.18260856632045769"/>
          <c:w val="0.50636835444113171"/>
          <c:h val="0.65194954153523255"/>
        </c:manualLayout>
      </c:layout>
      <c:pieChart>
        <c:varyColors val="1"/>
        <c:ser>
          <c:idx val="0"/>
          <c:order val="0"/>
          <c:tx>
            <c:strRef>
              <c:f>Report!$G$2</c:f>
              <c:strCache>
                <c:ptCount val="1"/>
                <c:pt idx="0">
                  <c:v>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Report!$F$3:$F$5</c:f>
              <c:strCache>
                <c:ptCount val="2"/>
                <c:pt idx="0">
                  <c:v>Programming</c:v>
                </c:pt>
                <c:pt idx="1">
                  <c:v>Meeting</c:v>
                </c:pt>
              </c:strCache>
            </c:strRef>
          </c:cat>
          <c:val>
            <c:numRef>
              <c:f>Report!$G$3:$G$5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Report!$H$2</c:f>
              <c:strCache>
                <c:ptCount val="1"/>
                <c:pt idx="0">
                  <c:v>Sum</c:v>
                </c:pt>
              </c:strCache>
            </c:strRef>
          </c:tx>
          <c:cat>
            <c:strRef>
              <c:f>Report!$F$3:$F$5</c:f>
              <c:strCache>
                <c:ptCount val="2"/>
                <c:pt idx="0">
                  <c:v>Programming</c:v>
                </c:pt>
                <c:pt idx="1">
                  <c:v>Meeting</c:v>
                </c:pt>
              </c:strCache>
            </c:strRef>
          </c:cat>
          <c:val>
            <c:numRef>
              <c:f>Report!$H$3:$H$5</c:f>
              <c:numCache>
                <c:formatCode>[$-F400]h:mm:ss\ AM/PM</c:formatCode>
                <c:ptCount val="2"/>
                <c:pt idx="0">
                  <c:v>1.3888888888888889E-3</c:v>
                </c:pt>
                <c:pt idx="1">
                  <c:v>1.3657407407407407E-3</c:v>
                </c:pt>
              </c:numCache>
            </c:numRef>
          </c:val>
        </c:ser>
        <c:ser>
          <c:idx val="2"/>
          <c:order val="2"/>
          <c:tx>
            <c:strRef>
              <c:f>Report!$I$2</c:f>
              <c:strCache>
                <c:ptCount val="1"/>
                <c:pt idx="0">
                  <c:v>Sum (%)</c:v>
                </c:pt>
              </c:strCache>
            </c:strRef>
          </c:tx>
          <c:cat>
            <c:strRef>
              <c:f>Report!$F$3:$F$5</c:f>
              <c:strCache>
                <c:ptCount val="2"/>
                <c:pt idx="0">
                  <c:v>Programming</c:v>
                </c:pt>
                <c:pt idx="1">
                  <c:v>Meeting</c:v>
                </c:pt>
              </c:strCache>
            </c:strRef>
          </c:cat>
          <c:val>
            <c:numRef>
              <c:f>Report!$I$3:$I$5</c:f>
              <c:numCache>
                <c:formatCode>0.00%</c:formatCode>
                <c:ptCount val="2"/>
                <c:pt idx="0">
                  <c:v>0.504201680672269</c:v>
                </c:pt>
                <c:pt idx="1">
                  <c:v>0.49579831932773111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142875</xdr:rowOff>
        </xdr:from>
        <xdr:to>
          <xdr:col>4</xdr:col>
          <xdr:colOff>400050</xdr:colOff>
          <xdr:row>9</xdr:row>
          <xdr:rowOff>0</xdr:rowOff>
        </xdr:to>
        <xdr:sp macro="" textlink="">
          <xdr:nvSpPr>
            <xdr:cNvPr id="1025" name="Button_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7</xdr:row>
          <xdr:rowOff>152400</xdr:rowOff>
        </xdr:from>
        <xdr:to>
          <xdr:col>6</xdr:col>
          <xdr:colOff>0</xdr:colOff>
          <xdr:row>9</xdr:row>
          <xdr:rowOff>9525</xdr:rowOff>
        </xdr:to>
        <xdr:sp macro="" textlink="">
          <xdr:nvSpPr>
            <xdr:cNvPr id="1026" name="Button_Stop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66675</xdr:rowOff>
        </xdr:from>
        <xdr:to>
          <xdr:col>9</xdr:col>
          <xdr:colOff>600075</xdr:colOff>
          <xdr:row>3</xdr:row>
          <xdr:rowOff>114300</xdr:rowOff>
        </xdr:to>
        <xdr:sp macro="" textlink="">
          <xdr:nvSpPr>
            <xdr:cNvPr id="1027" name="Standup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Standup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171450</xdr:rowOff>
        </xdr:from>
        <xdr:to>
          <xdr:col>9</xdr:col>
          <xdr:colOff>600075</xdr:colOff>
          <xdr:row>5</xdr:row>
          <xdr:rowOff>28575</xdr:rowOff>
        </xdr:to>
        <xdr:sp macro="" textlink="">
          <xdr:nvSpPr>
            <xdr:cNvPr id="1028" name="Team Suppor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Team support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85725</xdr:rowOff>
        </xdr:from>
        <xdr:to>
          <xdr:col>9</xdr:col>
          <xdr:colOff>600075</xdr:colOff>
          <xdr:row>6</xdr:row>
          <xdr:rowOff>133350</xdr:rowOff>
        </xdr:to>
        <xdr:sp macro="" textlink="">
          <xdr:nvSpPr>
            <xdr:cNvPr id="1029" name="Documentatio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Documentation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0</xdr:rowOff>
        </xdr:from>
        <xdr:to>
          <xdr:col>9</xdr:col>
          <xdr:colOff>600075</xdr:colOff>
          <xdr:row>8</xdr:row>
          <xdr:rowOff>47625</xdr:rowOff>
        </xdr:to>
        <xdr:sp macro="" textlink="">
          <xdr:nvSpPr>
            <xdr:cNvPr id="1030" name="QSW meeting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QSW meeting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6</xdr:row>
      <xdr:rowOff>104776</xdr:rowOff>
    </xdr:from>
    <xdr:to>
      <xdr:col>3</xdr:col>
      <xdr:colOff>952500</xdr:colOff>
      <xdr:row>18</xdr:row>
      <xdr:rowOff>95251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9524</xdr:colOff>
      <xdr:row>6</xdr:row>
      <xdr:rowOff>104776</xdr:rowOff>
    </xdr:from>
    <xdr:to>
      <xdr:col>9</xdr:col>
      <xdr:colOff>19049</xdr:colOff>
      <xdr:row>18</xdr:row>
      <xdr:rowOff>104775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ábio" refreshedDate="43822.717228819442" createdVersion="4" refreshedVersion="4" minRefreshableVersion="3" recordCount="28">
  <cacheSource type="worksheet">
    <worksheetSource ref="A1:F1048576" sheet="Activities"/>
  </cacheSource>
  <cacheFields count="6">
    <cacheField name="Start" numFmtId="0">
      <sharedItems containsNonDate="0" containsDate="1" containsString="0" containsBlank="1" minDate="2019-12-23T16:56:44" maxDate="2019-12-23T17:03:31"/>
    </cacheField>
    <cacheField name="Stop" numFmtId="0">
      <sharedItems containsNonDate="0" containsDate="1" containsString="0" containsBlank="1" minDate="2019-12-23T16:56:52" maxDate="2019-12-23T17:03:59"/>
    </cacheField>
    <cacheField name="Duration" numFmtId="164">
      <sharedItems containsNonDate="0" containsDate="1" containsString="0" containsBlank="1" minDate="1899-12-30T00:00:08" maxDate="1899-12-30T00:01:26"/>
    </cacheField>
    <cacheField name="Activity" numFmtId="0">
      <sharedItems containsBlank="1" count="4">
        <s v="Programming"/>
        <s v="Meeting"/>
        <m/>
        <s v="Metting" u="1"/>
      </sharedItems>
    </cacheField>
    <cacheField name="Project" numFmtId="0">
      <sharedItems containsBlank="1" count="8">
        <s v="Project 1"/>
        <s v="Project 2"/>
        <s v="Project 3"/>
        <m/>
        <s v="ProAI Gen3" u="1"/>
        <s v="ProAI Gen4" u="1"/>
        <s v="ProAI" u="1"/>
        <s v="ProAI Gen2" u="1"/>
      </sharedItems>
    </cacheField>
    <cacheField name="Us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d v="2019-12-23T16:56:44"/>
    <d v="2019-12-23T16:56:52"/>
    <d v="1899-12-30T00:00:08"/>
    <x v="0"/>
    <x v="0"/>
    <s v="Fábio"/>
  </r>
  <r>
    <d v="2019-12-23T16:57:18"/>
    <d v="2019-12-23T16:57:44"/>
    <d v="1899-12-30T00:00:26"/>
    <x v="0"/>
    <x v="0"/>
    <s v="Fábio"/>
  </r>
  <r>
    <d v="2019-12-23T16:58:09"/>
    <d v="2019-12-23T16:59:35"/>
    <d v="1899-12-30T00:01:26"/>
    <x v="0"/>
    <x v="1"/>
    <s v="Fábio"/>
  </r>
  <r>
    <d v="2019-12-23T16:59:44"/>
    <d v="2019-12-23T17:01:06"/>
    <d v="1899-12-30T00:01:22"/>
    <x v="1"/>
    <x v="0"/>
    <s v="Fábio"/>
  </r>
  <r>
    <d v="2019-12-23T17:01:57"/>
    <d v="2019-12-23T17:02:05"/>
    <d v="1899-12-30T00:00:08"/>
    <x v="1"/>
    <x v="2"/>
    <s v="Fábio"/>
  </r>
  <r>
    <d v="2019-12-23T17:03:31"/>
    <d v="2019-12-23T17:03:59"/>
    <d v="1899-12-30T00:00:28"/>
    <x v="1"/>
    <x v="0"/>
    <s v="Fábio"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  <r>
    <m/>
    <m/>
    <m/>
    <x v="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" rowHeaderCaption="Activity report">
  <location ref="F2:I5" firstHeaderRow="0" firstDataRow="1" firstDataCol="1"/>
  <pivotFields count="6">
    <pivotField showAll="0"/>
    <pivotField showAll="0"/>
    <pivotField dataField="1" showAll="0"/>
    <pivotField axis="axisRow" showAll="0">
      <items count="5">
        <item x="0"/>
        <item h="1" x="2"/>
        <item h="1" m="1" x="3"/>
        <item x="1"/>
        <item t="default"/>
      </items>
    </pivotField>
    <pivotField showAll="0"/>
    <pivotField showAll="0"/>
  </pivotFields>
  <rowFields count="1">
    <field x="3"/>
  </rowFields>
  <rowItems count="3">
    <i>
      <x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" fld="2" subtotal="count" baseField="0" baseItem="0"/>
    <dataField name="Sum" fld="2" baseField="4" baseItem="0" numFmtId="164"/>
    <dataField name="Sum (%)" fld="2" showDataAs="percentOfTotal" baseField="4" baseItem="0" numFmtId="10"/>
  </dataFields>
  <formats count="1"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" rowHeaderCaption="Project">
  <location ref="A2:D6" firstHeaderRow="0" firstDataRow="1" firstDataCol="1"/>
  <pivotFields count="6">
    <pivotField showAll="0"/>
    <pivotField showAll="0"/>
    <pivotField dataField="1" showAll="0"/>
    <pivotField showAll="0"/>
    <pivotField axis="axisRow" showAll="0">
      <items count="9">
        <item m="1" x="6"/>
        <item h="1" x="3"/>
        <item m="1" x="7"/>
        <item m="1" x="4"/>
        <item m="1" x="5"/>
        <item x="0"/>
        <item x="1"/>
        <item x="2"/>
        <item t="default"/>
      </items>
    </pivotField>
    <pivotField showAll="0"/>
  </pivotFields>
  <rowFields count="1">
    <field x="4"/>
  </rowFields>
  <rowItems count="4"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" fld="2" subtotal="count" baseField="0" baseItem="0"/>
    <dataField name="Sum" fld="2" baseField="4" baseItem="0" numFmtId="164"/>
    <dataField name="Sum (%)" fld="2" showDataAs="percentOfTotal" baseField="4" baseItem="0" numFmtId="10"/>
  </dataFields>
  <formats count="1"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25"/>
  <sheetViews>
    <sheetView workbookViewId="0">
      <selection activeCell="K10" sqref="K10"/>
    </sheetView>
    <sheetView workbookViewId="1">
      <selection activeCell="E10" sqref="E10"/>
    </sheetView>
  </sheetViews>
  <sheetFormatPr defaultRowHeight="15" x14ac:dyDescent="0.25"/>
  <cols>
    <col min="1" max="1" width="2" customWidth="1"/>
    <col min="2" max="2" width="1.85546875" customWidth="1"/>
    <col min="3" max="3" width="9.7109375" customWidth="1"/>
    <col min="4" max="4" width="11.7109375" customWidth="1"/>
    <col min="5" max="5" width="13.7109375" customWidth="1"/>
    <col min="6" max="6" width="11.5703125" customWidth="1"/>
    <col min="7" max="7" width="2.28515625" customWidth="1"/>
    <col min="8" max="8" width="3.140625" customWidth="1"/>
    <col min="11" max="11" width="3.28515625" customWidth="1"/>
  </cols>
  <sheetData>
    <row r="1" spans="1:11" ht="9" customHeight="1" thickBot="1" x14ac:dyDescent="0.3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</row>
    <row r="2" spans="1:11" x14ac:dyDescent="0.25">
      <c r="A2" s="39"/>
      <c r="B2" s="2"/>
      <c r="C2" s="3"/>
      <c r="D2" s="3"/>
      <c r="E2" s="3"/>
      <c r="F2" s="3"/>
      <c r="G2" s="4"/>
      <c r="H2" s="39"/>
      <c r="I2" s="40" t="s">
        <v>25</v>
      </c>
      <c r="J2" s="40"/>
      <c r="K2" s="39"/>
    </row>
    <row r="3" spans="1:11" x14ac:dyDescent="0.25">
      <c r="A3" s="39"/>
      <c r="B3" s="5"/>
      <c r="C3" s="6" t="s">
        <v>6</v>
      </c>
      <c r="D3" s="28" t="s">
        <v>31</v>
      </c>
      <c r="E3" s="29"/>
      <c r="F3" s="30"/>
      <c r="G3" s="7"/>
      <c r="H3" s="39"/>
      <c r="I3" s="39"/>
      <c r="J3" s="39"/>
      <c r="K3" s="39"/>
    </row>
    <row r="4" spans="1:11" x14ac:dyDescent="0.25">
      <c r="A4" s="39"/>
      <c r="B4" s="5"/>
      <c r="C4" s="6"/>
      <c r="D4" s="6"/>
      <c r="E4" s="6"/>
      <c r="F4" s="6"/>
      <c r="G4" s="7"/>
      <c r="H4" s="39"/>
      <c r="I4" s="39"/>
      <c r="J4" s="39"/>
      <c r="K4" s="39"/>
    </row>
    <row r="5" spans="1:11" x14ac:dyDescent="0.25">
      <c r="A5" s="39"/>
      <c r="B5" s="5"/>
      <c r="C5" s="6" t="s">
        <v>7</v>
      </c>
      <c r="D5" s="28" t="s">
        <v>18</v>
      </c>
      <c r="E5" s="29"/>
      <c r="F5" s="30"/>
      <c r="G5" s="7"/>
      <c r="H5" s="39"/>
      <c r="I5" s="39"/>
      <c r="J5" s="39"/>
      <c r="K5" s="39"/>
    </row>
    <row r="6" spans="1:11" x14ac:dyDescent="0.25">
      <c r="A6" s="39"/>
      <c r="B6" s="5"/>
      <c r="C6" s="6"/>
      <c r="D6" s="6"/>
      <c r="E6" s="6"/>
      <c r="F6" s="6"/>
      <c r="G6" s="7"/>
      <c r="H6" s="39"/>
      <c r="I6" s="39"/>
      <c r="J6" s="39"/>
      <c r="K6" s="39"/>
    </row>
    <row r="7" spans="1:11" x14ac:dyDescent="0.25">
      <c r="A7" s="39"/>
      <c r="B7" s="5"/>
      <c r="C7" s="6" t="s">
        <v>8</v>
      </c>
      <c r="D7" s="28" t="s">
        <v>14</v>
      </c>
      <c r="E7" s="29"/>
      <c r="F7" s="30"/>
      <c r="G7" s="7"/>
      <c r="H7" s="39"/>
      <c r="I7" s="39"/>
      <c r="J7" s="39"/>
      <c r="K7" s="39"/>
    </row>
    <row r="8" spans="1:11" x14ac:dyDescent="0.25">
      <c r="A8" s="39"/>
      <c r="B8" s="5"/>
      <c r="C8" s="6"/>
      <c r="D8" s="6"/>
      <c r="E8" s="6"/>
      <c r="F8" s="6"/>
      <c r="G8" s="7"/>
      <c r="H8" s="39"/>
      <c r="I8" s="39"/>
      <c r="J8" s="39"/>
      <c r="K8" s="39"/>
    </row>
    <row r="9" spans="1:11" x14ac:dyDescent="0.25">
      <c r="A9" s="39"/>
      <c r="B9" s="5"/>
      <c r="C9" s="6"/>
      <c r="D9" s="6"/>
      <c r="E9" s="6"/>
      <c r="F9" s="6"/>
      <c r="G9" s="7"/>
      <c r="H9" s="39"/>
      <c r="I9" s="39"/>
      <c r="J9" s="39"/>
      <c r="K9" s="39"/>
    </row>
    <row r="10" spans="1:11" ht="13.5" customHeight="1" thickBot="1" x14ac:dyDescent="0.3">
      <c r="A10" s="39"/>
      <c r="B10" s="8"/>
      <c r="C10" s="9"/>
      <c r="D10" s="9"/>
      <c r="E10" s="9"/>
      <c r="F10" s="9"/>
      <c r="G10" s="10"/>
      <c r="H10" s="39"/>
      <c r="I10" s="39"/>
      <c r="J10" s="39"/>
      <c r="K10" s="39"/>
    </row>
    <row r="11" spans="1:11" ht="10.5" customHeight="1" thickBot="1" x14ac:dyDescent="0.3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</row>
    <row r="12" spans="1:11" x14ac:dyDescent="0.25">
      <c r="A12" s="39"/>
      <c r="B12" s="25" t="s">
        <v>11</v>
      </c>
      <c r="C12" s="26"/>
      <c r="D12" s="26"/>
      <c r="E12" s="26"/>
      <c r="F12" s="26"/>
      <c r="G12" s="27"/>
      <c r="H12" s="39"/>
      <c r="I12" s="39"/>
      <c r="J12" s="39"/>
      <c r="K12" s="39"/>
    </row>
    <row r="13" spans="1:11" x14ac:dyDescent="0.25">
      <c r="A13" s="39"/>
      <c r="B13" s="5"/>
      <c r="C13" s="14"/>
      <c r="D13" s="12"/>
      <c r="E13" s="12"/>
      <c r="F13" s="12"/>
      <c r="G13" s="7"/>
      <c r="H13" s="39"/>
      <c r="I13" s="39"/>
      <c r="J13" s="39"/>
      <c r="K13" s="39"/>
    </row>
    <row r="14" spans="1:11" x14ac:dyDescent="0.25">
      <c r="A14" s="39"/>
      <c r="B14" s="5"/>
      <c r="C14" s="6" t="s">
        <v>9</v>
      </c>
      <c r="D14" s="34" t="s">
        <v>32</v>
      </c>
      <c r="E14" s="35"/>
      <c r="F14" s="36"/>
      <c r="G14" s="13"/>
      <c r="H14" s="39"/>
      <c r="I14" s="39"/>
      <c r="J14" s="39"/>
      <c r="K14" s="39"/>
    </row>
    <row r="15" spans="1:11" x14ac:dyDescent="0.25">
      <c r="A15" s="39"/>
      <c r="B15" s="5"/>
      <c r="C15" s="6"/>
      <c r="D15" s="11"/>
      <c r="E15" s="11"/>
      <c r="F15" s="11"/>
      <c r="G15" s="7"/>
      <c r="H15" s="39"/>
      <c r="I15" s="39"/>
      <c r="J15" s="39"/>
      <c r="K15" s="39"/>
    </row>
    <row r="16" spans="1:11" x14ac:dyDescent="0.25">
      <c r="A16" s="39"/>
      <c r="B16" s="5"/>
      <c r="C16" s="6" t="s">
        <v>10</v>
      </c>
      <c r="D16" s="31">
        <v>31</v>
      </c>
      <c r="E16" s="32"/>
      <c r="F16" s="33"/>
      <c r="G16" s="7"/>
      <c r="H16" s="39"/>
      <c r="I16" s="39"/>
      <c r="J16" s="39"/>
      <c r="K16" s="39"/>
    </row>
    <row r="17" spans="1:11" ht="15.75" thickBot="1" x14ac:dyDescent="0.3">
      <c r="A17" s="39"/>
      <c r="B17" s="8"/>
      <c r="C17" s="9"/>
      <c r="D17" s="9"/>
      <c r="E17" s="9"/>
      <c r="F17" s="9"/>
      <c r="G17" s="10"/>
      <c r="H17" s="39"/>
      <c r="I17" s="39"/>
      <c r="J17" s="39"/>
      <c r="K17" s="39"/>
    </row>
    <row r="18" spans="1:1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</row>
    <row r="19" spans="1:1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</row>
    <row r="20" spans="1:11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41"/>
      <c r="K20" s="39"/>
    </row>
    <row r="21" spans="1:11" x14ac:dyDescent="0.25">
      <c r="A21" s="39"/>
      <c r="B21" s="39"/>
      <c r="C21" s="39"/>
      <c r="D21" s="39"/>
      <c r="E21" s="42"/>
      <c r="F21" s="39"/>
      <c r="G21" s="39"/>
      <c r="H21" s="39"/>
      <c r="I21" s="39"/>
      <c r="J21" s="39"/>
      <c r="K21" s="39"/>
    </row>
    <row r="22" spans="1:11" x14ac:dyDescent="0.25">
      <c r="A22" s="39"/>
      <c r="B22" s="39"/>
      <c r="D22" s="39"/>
      <c r="E22" s="42"/>
      <c r="F22" s="39"/>
      <c r="G22" s="39"/>
      <c r="H22" s="39"/>
      <c r="I22" s="39"/>
      <c r="J22" s="39"/>
      <c r="K22" s="39"/>
    </row>
    <row r="23" spans="1:11" x14ac:dyDescent="0.25">
      <c r="A23" s="39"/>
      <c r="B23" s="39"/>
      <c r="C23" s="43" t="s">
        <v>12</v>
      </c>
      <c r="D23" s="39"/>
      <c r="E23" s="39"/>
      <c r="F23" s="39"/>
      <c r="G23" s="39"/>
      <c r="H23" s="39"/>
      <c r="I23" s="39"/>
      <c r="J23" s="39"/>
      <c r="K23" s="39"/>
    </row>
    <row r="24" spans="1:11" x14ac:dyDescent="0.25">
      <c r="J24" s="38"/>
    </row>
    <row r="25" spans="1:11" x14ac:dyDescent="0.25">
      <c r="F25" s="38"/>
    </row>
  </sheetData>
  <protectedRanges>
    <protectedRange sqref="D7" name="User"/>
    <protectedRange sqref="D5" name="Project"/>
    <protectedRange sqref="D3" name="Activity"/>
  </protectedRanges>
  <mergeCells count="7">
    <mergeCell ref="I2:J2"/>
    <mergeCell ref="B12:G12"/>
    <mergeCell ref="D3:F3"/>
    <mergeCell ref="D5:F5"/>
    <mergeCell ref="D7:F7"/>
    <mergeCell ref="D16:F16"/>
    <mergeCell ref="D14: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_Start">
              <controlPr defaultSize="0" print="0" autoFill="0" autoPict="0" macro="[0]!Button_Start_Activity">
                <anchor moveWithCells="1">
                  <from>
                    <xdr:col>3</xdr:col>
                    <xdr:colOff>0</xdr:colOff>
                    <xdr:row>7</xdr:row>
                    <xdr:rowOff>142875</xdr:rowOff>
                  </from>
                  <to>
                    <xdr:col>4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_Stop">
              <controlPr defaultSize="0" print="0" disabled="1" autoFill="0" autoPict="0" macro="[0]!Button_Stop_Activity">
                <anchor moveWithCells="1">
                  <from>
                    <xdr:col>4</xdr:col>
                    <xdr:colOff>514350</xdr:colOff>
                    <xdr:row>7</xdr:row>
                    <xdr:rowOff>152400</xdr:rowOff>
                  </from>
                  <to>
                    <xdr:col>6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tandup">
              <controlPr defaultSize="0" print="0" autoFill="0" autoPict="0" macro="[0]!Button_Start_Standard_Activity">
                <anchor moveWithCells="1">
                  <from>
                    <xdr:col>8</xdr:col>
                    <xdr:colOff>28575</xdr:colOff>
                    <xdr:row>2</xdr:row>
                    <xdr:rowOff>66675</xdr:rowOff>
                  </from>
                  <to>
                    <xdr:col>9</xdr:col>
                    <xdr:colOff>600075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Team Support">
              <controlPr defaultSize="0" print="0" autoFill="0" autoPict="0" macro="[0]!Button_Start_Standard_Activity">
                <anchor moveWithCells="1">
                  <from>
                    <xdr:col>8</xdr:col>
                    <xdr:colOff>28575</xdr:colOff>
                    <xdr:row>3</xdr:row>
                    <xdr:rowOff>171450</xdr:rowOff>
                  </from>
                  <to>
                    <xdr:col>9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ocumentation">
              <controlPr defaultSize="0" print="0" autoFill="0" autoPict="0" macro="[0]!Button_Start_Standard_Activity">
                <anchor moveWithCells="1">
                  <from>
                    <xdr:col>8</xdr:col>
                    <xdr:colOff>28575</xdr:colOff>
                    <xdr:row>5</xdr:row>
                    <xdr:rowOff>85725</xdr:rowOff>
                  </from>
                  <to>
                    <xdr:col>9</xdr:col>
                    <xdr:colOff>600075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QSW meeting">
              <controlPr defaultSize="0" print="0" autoFill="0" autoPict="0" macro="[0]!Button_Start_Standard_Activity">
                <anchor moveWithCells="1">
                  <from>
                    <xdr:col>8</xdr:col>
                    <xdr:colOff>28575</xdr:colOff>
                    <xdr:row>7</xdr:row>
                    <xdr:rowOff>0</xdr:rowOff>
                  </from>
                  <to>
                    <xdr:col>9</xdr:col>
                    <xdr:colOff>600075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32"/>
  <sheetViews>
    <sheetView tabSelected="1" topLeftCell="D1" workbookViewId="0">
      <selection activeCell="F31" sqref="F31"/>
    </sheetView>
    <sheetView tabSelected="1" workbookViewId="1">
      <selection activeCell="C35" sqref="C35"/>
    </sheetView>
  </sheetViews>
  <sheetFormatPr defaultRowHeight="15" x14ac:dyDescent="0.25"/>
  <cols>
    <col min="1" max="1" width="15.85546875" customWidth="1"/>
    <col min="2" max="2" width="16.42578125" customWidth="1"/>
    <col min="3" max="3" width="9.140625" style="24"/>
    <col min="4" max="4" width="22.5703125" customWidth="1"/>
    <col min="5" max="5" width="12.85546875" customWidth="1"/>
  </cols>
  <sheetData>
    <row r="1" spans="1:8" s="1" customFormat="1" x14ac:dyDescent="0.25">
      <c r="A1" s="16" t="s">
        <v>2</v>
      </c>
      <c r="B1" s="16" t="s">
        <v>3</v>
      </c>
      <c r="C1" s="16" t="s">
        <v>4</v>
      </c>
      <c r="D1" s="16" t="s">
        <v>0</v>
      </c>
      <c r="E1" s="16" t="s">
        <v>5</v>
      </c>
      <c r="F1" s="16" t="s">
        <v>1</v>
      </c>
    </row>
    <row r="2" spans="1:8" x14ac:dyDescent="0.25">
      <c r="A2" s="17">
        <v>43822.706064814818</v>
      </c>
      <c r="B2" s="17">
        <v>43822.706157407411</v>
      </c>
      <c r="C2" s="19">
        <v>9.2592592409346253E-5</v>
      </c>
      <c r="D2" s="18" t="s">
        <v>13</v>
      </c>
      <c r="E2" s="18" t="s">
        <v>18</v>
      </c>
      <c r="F2" s="18" t="s">
        <v>14</v>
      </c>
      <c r="G2" s="18"/>
      <c r="H2" s="18"/>
    </row>
    <row r="3" spans="1:8" x14ac:dyDescent="0.25">
      <c r="A3" s="17">
        <v>43822.706458333334</v>
      </c>
      <c r="B3" s="17">
        <v>43822.706759259258</v>
      </c>
      <c r="C3" s="19">
        <v>3.0092592351138592E-4</v>
      </c>
      <c r="D3" s="18" t="s">
        <v>13</v>
      </c>
      <c r="E3" s="18" t="s">
        <v>18</v>
      </c>
      <c r="F3" s="18" t="s">
        <v>14</v>
      </c>
      <c r="G3" s="18"/>
      <c r="H3" s="18"/>
    </row>
    <row r="4" spans="1:8" x14ac:dyDescent="0.25">
      <c r="A4" s="17">
        <v>43822.707048611112</v>
      </c>
      <c r="B4" s="17">
        <v>43822.708043981482</v>
      </c>
      <c r="C4" s="19">
        <v>9.9537037021946162E-4</v>
      </c>
      <c r="D4" s="18" t="s">
        <v>13</v>
      </c>
      <c r="E4" s="18" t="s">
        <v>19</v>
      </c>
      <c r="F4" s="18" t="s">
        <v>14</v>
      </c>
      <c r="G4" s="18"/>
      <c r="H4" s="18"/>
    </row>
    <row r="5" spans="1:8" x14ac:dyDescent="0.25">
      <c r="A5" s="17">
        <v>43822.708148148151</v>
      </c>
      <c r="B5" s="17">
        <v>43822.709097222221</v>
      </c>
      <c r="C5" s="19">
        <v>9.4907407037680969E-4</v>
      </c>
      <c r="D5" s="18" t="s">
        <v>24</v>
      </c>
      <c r="E5" s="18" t="s">
        <v>18</v>
      </c>
      <c r="F5" s="18" t="s">
        <v>14</v>
      </c>
      <c r="G5" s="18"/>
      <c r="H5" s="18"/>
    </row>
    <row r="6" spans="1:8" x14ac:dyDescent="0.25">
      <c r="A6" s="15">
        <v>43822.709687499999</v>
      </c>
      <c r="B6" s="15">
        <v>43822.709780092591</v>
      </c>
      <c r="C6" s="19">
        <v>9.2592592409346253E-5</v>
      </c>
      <c r="D6" t="s">
        <v>24</v>
      </c>
      <c r="E6" s="18" t="s">
        <v>20</v>
      </c>
      <c r="F6" t="s">
        <v>14</v>
      </c>
    </row>
    <row r="7" spans="1:8" x14ac:dyDescent="0.25">
      <c r="A7" s="15">
        <v>43822.710775462961</v>
      </c>
      <c r="B7" s="15">
        <v>43900.880428240744</v>
      </c>
      <c r="C7" s="19">
        <v>78.169652777782176</v>
      </c>
      <c r="D7" t="s">
        <v>24</v>
      </c>
      <c r="E7" t="s">
        <v>18</v>
      </c>
      <c r="F7" t="s">
        <v>14</v>
      </c>
    </row>
    <row r="8" spans="1:8" x14ac:dyDescent="0.25">
      <c r="A8" s="15">
        <v>43900.88045138889</v>
      </c>
      <c r="B8" s="15">
        <v>43900.880624999998</v>
      </c>
      <c r="C8" s="19">
        <v>1.7361110803904012E-4</v>
      </c>
      <c r="D8" t="s">
        <v>24</v>
      </c>
      <c r="E8" t="s">
        <v>18</v>
      </c>
      <c r="F8" t="s">
        <v>14</v>
      </c>
    </row>
    <row r="9" spans="1:8" x14ac:dyDescent="0.25">
      <c r="A9" s="15">
        <v>43900.881203703706</v>
      </c>
      <c r="C9" s="19"/>
      <c r="D9" t="s">
        <v>26</v>
      </c>
      <c r="E9" t="s">
        <v>18</v>
      </c>
      <c r="F9" t="s">
        <v>14</v>
      </c>
    </row>
    <row r="10" spans="1:8" x14ac:dyDescent="0.25">
      <c r="A10" s="15">
        <v>43900.881215277775</v>
      </c>
      <c r="C10" s="19"/>
      <c r="D10" t="s">
        <v>26</v>
      </c>
      <c r="E10" t="s">
        <v>18</v>
      </c>
      <c r="F10" t="s">
        <v>14</v>
      </c>
    </row>
    <row r="11" spans="1:8" x14ac:dyDescent="0.25">
      <c r="A11" s="15">
        <v>43900.881226851852</v>
      </c>
      <c r="C11" s="19"/>
      <c r="D11" t="s">
        <v>26</v>
      </c>
      <c r="E11" t="s">
        <v>18</v>
      </c>
      <c r="F11" t="s">
        <v>14</v>
      </c>
    </row>
    <row r="12" spans="1:8" x14ac:dyDescent="0.25">
      <c r="A12" s="15">
        <v>43900.882685185185</v>
      </c>
      <c r="C12" s="19"/>
      <c r="D12" t="s">
        <v>26</v>
      </c>
      <c r="E12" t="s">
        <v>18</v>
      </c>
      <c r="F12" t="s">
        <v>14</v>
      </c>
    </row>
    <row r="13" spans="1:8" x14ac:dyDescent="0.25">
      <c r="A13" s="15">
        <v>43900.882696759261</v>
      </c>
      <c r="C13" s="19"/>
      <c r="D13" t="s">
        <v>26</v>
      </c>
      <c r="E13" t="s">
        <v>18</v>
      </c>
      <c r="F13" t="s">
        <v>14</v>
      </c>
    </row>
    <row r="14" spans="1:8" x14ac:dyDescent="0.25">
      <c r="A14" s="15">
        <v>43900.882708333331</v>
      </c>
      <c r="C14" s="19"/>
      <c r="D14" t="s">
        <v>26</v>
      </c>
      <c r="E14" t="s">
        <v>18</v>
      </c>
      <c r="F14" t="s">
        <v>14</v>
      </c>
    </row>
    <row r="15" spans="1:8" x14ac:dyDescent="0.25">
      <c r="A15" s="15">
        <v>43900.882719907408</v>
      </c>
      <c r="C15" s="19"/>
      <c r="D15" t="s">
        <v>26</v>
      </c>
      <c r="E15" t="s">
        <v>18</v>
      </c>
      <c r="F15" t="s">
        <v>14</v>
      </c>
    </row>
    <row r="16" spans="1:8" x14ac:dyDescent="0.25">
      <c r="A16" s="15">
        <v>43900.882719907408</v>
      </c>
      <c r="C16" s="19"/>
      <c r="D16" t="s">
        <v>26</v>
      </c>
      <c r="E16" t="s">
        <v>18</v>
      </c>
      <c r="F16" t="s">
        <v>14</v>
      </c>
    </row>
    <row r="17" spans="1:6" x14ac:dyDescent="0.25">
      <c r="A17" s="15">
        <v>43900.882743055554</v>
      </c>
      <c r="B17" s="15">
        <v>43900.882754629631</v>
      </c>
      <c r="C17" s="19">
        <v>1.1574076779652387E-5</v>
      </c>
      <c r="D17" t="s">
        <v>26</v>
      </c>
      <c r="E17" t="s">
        <v>18</v>
      </c>
      <c r="F17" t="s">
        <v>14</v>
      </c>
    </row>
    <row r="18" spans="1:6" x14ac:dyDescent="0.25">
      <c r="A18" s="15">
        <v>43900.883460648147</v>
      </c>
      <c r="B18" s="15">
        <v>43900.885659722226</v>
      </c>
      <c r="C18" s="19">
        <v>2.1990740788169205E-3</v>
      </c>
      <c r="D18" t="s">
        <v>27</v>
      </c>
      <c r="E18" t="s">
        <v>18</v>
      </c>
      <c r="F18" t="s">
        <v>14</v>
      </c>
    </row>
    <row r="19" spans="1:6" x14ac:dyDescent="0.25">
      <c r="A19" s="15">
        <v>43900.885717592595</v>
      </c>
      <c r="B19" s="15">
        <v>43900.885775462964</v>
      </c>
      <c r="C19" s="19">
        <v>5.7870369346346706E-5</v>
      </c>
      <c r="D19" t="s">
        <v>28</v>
      </c>
      <c r="E19" t="s">
        <v>18</v>
      </c>
      <c r="F19" t="s">
        <v>14</v>
      </c>
    </row>
    <row r="20" spans="1:6" x14ac:dyDescent="0.25">
      <c r="A20" s="15">
        <v>43900.886828703704</v>
      </c>
      <c r="B20" s="15">
        <v>43900.888518518521</v>
      </c>
      <c r="C20" s="19">
        <v>1.6898148169275373E-3</v>
      </c>
      <c r="D20" t="s">
        <v>29</v>
      </c>
      <c r="E20" t="s">
        <v>18</v>
      </c>
      <c r="F20" t="s">
        <v>14</v>
      </c>
    </row>
    <row r="21" spans="1:6" x14ac:dyDescent="0.25">
      <c r="A21" s="15">
        <v>43900.888622685183</v>
      </c>
      <c r="B21" s="15">
        <v>43900.888692129629</v>
      </c>
      <c r="C21" s="19">
        <v>6.9444446125999093E-5</v>
      </c>
      <c r="D21" t="s">
        <v>29</v>
      </c>
      <c r="E21" t="s">
        <v>18</v>
      </c>
      <c r="F21" t="s">
        <v>14</v>
      </c>
    </row>
    <row r="22" spans="1:6" x14ac:dyDescent="0.25">
      <c r="A22" s="15">
        <v>43900.888749999998</v>
      </c>
      <c r="B22" s="15">
        <v>43900.889236111114</v>
      </c>
      <c r="C22" s="19" t="s">
        <v>30</v>
      </c>
      <c r="D22" t="s">
        <v>29</v>
      </c>
      <c r="E22" t="s">
        <v>18</v>
      </c>
      <c r="F22" t="s">
        <v>14</v>
      </c>
    </row>
    <row r="23" spans="1:6" x14ac:dyDescent="0.25">
      <c r="A23" s="15">
        <v>43900.889270833337</v>
      </c>
      <c r="B23" s="15">
        <v>43900.889872685184</v>
      </c>
      <c r="C23" s="19" t="str">
        <f>A1</f>
        <v>Start</v>
      </c>
      <c r="D23" t="s">
        <v>29</v>
      </c>
      <c r="E23" t="s">
        <v>18</v>
      </c>
      <c r="F23" t="s">
        <v>14</v>
      </c>
    </row>
    <row r="24" spans="1:6" x14ac:dyDescent="0.25">
      <c r="A24" s="15">
        <v>43900.890034722222</v>
      </c>
      <c r="B24" s="15">
        <v>43900.890497685185</v>
      </c>
      <c r="C24" s="19" t="str">
        <f>A1</f>
        <v>Start</v>
      </c>
      <c r="D24" t="s">
        <v>29</v>
      </c>
      <c r="E24" t="s">
        <v>18</v>
      </c>
      <c r="F24" t="s">
        <v>14</v>
      </c>
    </row>
    <row r="25" spans="1:6" x14ac:dyDescent="0.25">
      <c r="A25" s="15">
        <v>43900.890520833331</v>
      </c>
      <c r="B25" s="15">
        <v>43900.890567129631</v>
      </c>
      <c r="C25" s="19" t="str">
        <f>A1</f>
        <v>Start</v>
      </c>
      <c r="D25" t="s">
        <v>29</v>
      </c>
      <c r="E25" t="s">
        <v>18</v>
      </c>
      <c r="F25" t="s">
        <v>14</v>
      </c>
    </row>
    <row r="26" spans="1:6" x14ac:dyDescent="0.25">
      <c r="A26" s="15">
        <v>43900.890613425923</v>
      </c>
      <c r="B26" s="15">
        <v>43900.891412037039</v>
      </c>
      <c r="C26" s="19">
        <f>B26-A26</f>
        <v>7.9861111589707434E-4</v>
      </c>
      <c r="D26" t="s">
        <v>29</v>
      </c>
      <c r="E26" t="s">
        <v>18</v>
      </c>
      <c r="F26" t="s">
        <v>14</v>
      </c>
    </row>
    <row r="27" spans="1:6" x14ac:dyDescent="0.25">
      <c r="A27" s="15">
        <v>43900.891481481478</v>
      </c>
      <c r="B27" s="15">
        <v>43900.891493055555</v>
      </c>
      <c r="C27" s="19">
        <f>B27-A27</f>
        <v>1.1574076779652387E-5</v>
      </c>
      <c r="D27" t="s">
        <v>29</v>
      </c>
      <c r="E27" t="s">
        <v>18</v>
      </c>
      <c r="F27" t="s">
        <v>14</v>
      </c>
    </row>
    <row r="28" spans="1:6" x14ac:dyDescent="0.25">
      <c r="A28" s="15">
        <v>43900.891527777778</v>
      </c>
      <c r="B28" s="15">
        <v>43900.891550925924</v>
      </c>
      <c r="C28" s="19">
        <f>B28-A28</f>
        <v>2.314814628334716E-5</v>
      </c>
      <c r="D28" t="s">
        <v>29</v>
      </c>
      <c r="E28" t="s">
        <v>18</v>
      </c>
      <c r="F28" t="s">
        <v>14</v>
      </c>
    </row>
    <row r="29" spans="1:6" x14ac:dyDescent="0.25">
      <c r="A29" s="15">
        <v>43900.891562500001</v>
      </c>
      <c r="B29" s="15">
        <v>43900.891574074078</v>
      </c>
      <c r="C29" s="24">
        <f>B29-A29</f>
        <v>1.1574076779652387E-5</v>
      </c>
      <c r="D29" t="s">
        <v>26</v>
      </c>
      <c r="E29" t="s">
        <v>18</v>
      </c>
      <c r="F29" t="s">
        <v>14</v>
      </c>
    </row>
    <row r="30" spans="1:6" x14ac:dyDescent="0.25">
      <c r="A30" s="15">
        <v>43900.891585648147</v>
      </c>
      <c r="B30" s="15">
        <v>43900.891597222224</v>
      </c>
      <c r="C30" s="24">
        <f>B30-A30</f>
        <v>1.1574076779652387E-5</v>
      </c>
      <c r="D30" t="s">
        <v>28</v>
      </c>
      <c r="E30" t="s">
        <v>18</v>
      </c>
      <c r="F30" t="s">
        <v>14</v>
      </c>
    </row>
    <row r="31" spans="1:6" x14ac:dyDescent="0.25">
      <c r="A31" s="15">
        <v>43900.89162037037</v>
      </c>
      <c r="B31" s="15">
        <v>43900.89162037037</v>
      </c>
      <c r="C31" s="24">
        <f>B31-A31</f>
        <v>0</v>
      </c>
      <c r="D31" t="s">
        <v>31</v>
      </c>
      <c r="E31" t="s">
        <v>18</v>
      </c>
      <c r="F31" t="s">
        <v>14</v>
      </c>
    </row>
    <row r="32" spans="1:6" x14ac:dyDescent="0.25">
      <c r="B32" s="3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6"/>
  <sheetViews>
    <sheetView workbookViewId="0">
      <selection activeCell="F22" sqref="F22"/>
    </sheetView>
    <sheetView workbookViewId="1">
      <selection sqref="A1:D1"/>
    </sheetView>
  </sheetViews>
  <sheetFormatPr defaultRowHeight="15" x14ac:dyDescent="0.25"/>
  <cols>
    <col min="1" max="1" width="10.7109375" customWidth="1"/>
    <col min="2" max="2" width="6.28515625" customWidth="1"/>
    <col min="3" max="3" width="8.140625" customWidth="1"/>
    <col min="4" max="4" width="8.28515625" customWidth="1"/>
    <col min="5" max="5" width="3.42578125" customWidth="1"/>
    <col min="6" max="6" width="16.140625" customWidth="1"/>
    <col min="7" max="7" width="6.28515625" customWidth="1"/>
    <col min="8" max="8" width="8.140625" customWidth="1"/>
    <col min="9" max="9" width="8.28515625" customWidth="1"/>
  </cols>
  <sheetData>
    <row r="1" spans="1:9" x14ac:dyDescent="0.25">
      <c r="A1" s="37" t="s">
        <v>16</v>
      </c>
      <c r="B1" s="37"/>
      <c r="C1" s="37"/>
      <c r="D1" s="37"/>
      <c r="F1" s="37" t="s">
        <v>17</v>
      </c>
      <c r="G1" s="37"/>
      <c r="H1" s="37"/>
      <c r="I1" s="37"/>
    </row>
    <row r="2" spans="1:9" x14ac:dyDescent="0.25">
      <c r="A2" s="20" t="s">
        <v>5</v>
      </c>
      <c r="B2" t="s">
        <v>23</v>
      </c>
      <c r="C2" t="s">
        <v>21</v>
      </c>
      <c r="D2" t="s">
        <v>22</v>
      </c>
      <c r="F2" s="20" t="s">
        <v>17</v>
      </c>
      <c r="G2" t="s">
        <v>23</v>
      </c>
      <c r="H2" t="s">
        <v>21</v>
      </c>
      <c r="I2" t="s">
        <v>22</v>
      </c>
    </row>
    <row r="3" spans="1:9" x14ac:dyDescent="0.25">
      <c r="A3" s="21" t="s">
        <v>18</v>
      </c>
      <c r="B3" s="22">
        <v>4</v>
      </c>
      <c r="C3" s="24">
        <v>1.6666666666666668E-3</v>
      </c>
      <c r="D3" s="23">
        <v>0.60504201680672265</v>
      </c>
      <c r="F3" s="21" t="s">
        <v>13</v>
      </c>
      <c r="G3" s="22">
        <v>3</v>
      </c>
      <c r="H3" s="24">
        <v>1.3888888888888889E-3</v>
      </c>
      <c r="I3" s="23">
        <v>0.504201680672269</v>
      </c>
    </row>
    <row r="4" spans="1:9" x14ac:dyDescent="0.25">
      <c r="A4" s="21" t="s">
        <v>19</v>
      </c>
      <c r="B4" s="22">
        <v>1</v>
      </c>
      <c r="C4" s="24">
        <v>9.9537037037037042E-4</v>
      </c>
      <c r="D4" s="23">
        <v>0.36134453781512604</v>
      </c>
      <c r="F4" s="21" t="s">
        <v>24</v>
      </c>
      <c r="G4" s="22">
        <v>3</v>
      </c>
      <c r="H4" s="24">
        <v>1.3657407407407407E-3</v>
      </c>
      <c r="I4" s="23">
        <v>0.49579831932773111</v>
      </c>
    </row>
    <row r="5" spans="1:9" x14ac:dyDescent="0.25">
      <c r="A5" s="21" t="s">
        <v>20</v>
      </c>
      <c r="B5" s="22">
        <v>1</v>
      </c>
      <c r="C5" s="24">
        <v>9.2592592592592588E-5</v>
      </c>
      <c r="D5" s="23">
        <v>3.3613445378151259E-2</v>
      </c>
      <c r="F5" s="21" t="s">
        <v>15</v>
      </c>
      <c r="G5" s="22">
        <v>6</v>
      </c>
      <c r="H5" s="24">
        <v>2.7546296296296294E-3</v>
      </c>
      <c r="I5" s="23">
        <v>1</v>
      </c>
    </row>
    <row r="6" spans="1:9" x14ac:dyDescent="0.25">
      <c r="A6" s="21" t="s">
        <v>15</v>
      </c>
      <c r="B6" s="22">
        <v>6</v>
      </c>
      <c r="C6" s="24">
        <v>2.7546296296296299E-3</v>
      </c>
      <c r="D6" s="23">
        <v>1</v>
      </c>
    </row>
  </sheetData>
  <mergeCells count="2">
    <mergeCell ref="A1:D1"/>
    <mergeCell ref="F1:I1"/>
  </mergeCells>
  <pageMargins left="0.511811024" right="0.511811024" top="0.78740157499999996" bottom="0.78740157499999996" header="0.31496062000000002" footer="0.3149606200000000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</vt:lpstr>
      <vt:lpstr>Activities</vt:lpstr>
      <vt:lpstr>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Fábio</dc:creator>
  <cp:lastModifiedBy>Fábio Crestani</cp:lastModifiedBy>
  <dcterms:created xsi:type="dcterms:W3CDTF">2019-12-23T18:12:04Z</dcterms:created>
  <dcterms:modified xsi:type="dcterms:W3CDTF">2020-03-10T20:24:03Z</dcterms:modified>
</cp:coreProperties>
</file>